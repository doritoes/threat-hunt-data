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farda/Documents/Work/SA/Books/Hunting Book/Proposal/Manning/Book Writing/Chapter 2/Draft/"/>
    </mc:Choice>
  </mc:AlternateContent>
  <xr:revisionPtr revIDLastSave="0" documentId="13_ncr:1_{E81725ED-67CB-F846-9DEB-10182A1463E8}" xr6:coauthVersionLast="47" xr6:coauthVersionMax="47" xr10:uidLastSave="{00000000-0000-0000-0000-000000000000}"/>
  <bookViews>
    <workbookView xWindow="7340" yWindow="5380" windowWidth="27240" windowHeight="16180" xr2:uid="{9D0670EF-E314-C048-8701-42C0F22A2106}"/>
  </bookViews>
  <sheets>
    <sheet name="Simple Calculator" sheetId="1" r:id="rId1"/>
    <sheet name="Referen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F14" i="1"/>
  <c r="F13" i="1"/>
  <c r="F12" i="1"/>
  <c r="F11" i="1"/>
  <c r="F10" i="1"/>
  <c r="F8" i="1"/>
  <c r="F7" i="1"/>
  <c r="F6" i="1"/>
  <c r="F5" i="1"/>
  <c r="F4" i="1"/>
  <c r="F3" i="1"/>
  <c r="F17" i="1" l="1"/>
  <c r="E20" i="1" s="1"/>
  <c r="E21" i="1" s="1"/>
</calcChain>
</file>

<file path=xl/sharedStrings.xml><?xml version="1.0" encoding="utf-8"?>
<sst xmlns="http://schemas.openxmlformats.org/spreadsheetml/2006/main" count="117" uniqueCount="36">
  <si>
    <t>Capability</t>
  </si>
  <si>
    <t>Answer</t>
  </si>
  <si>
    <t>Score</t>
  </si>
  <si>
    <t>Max Score</t>
  </si>
  <si>
    <t xml:space="preserve"> Threat hunting practice established</t>
  </si>
  <si>
    <t>Yes</t>
  </si>
  <si>
    <t xml:space="preserve"> Threat hunting process established</t>
  </si>
  <si>
    <t xml:space="preserve"> Threat hunt expeditions are regularly conducted </t>
  </si>
  <si>
    <t>Ad-hoc</t>
  </si>
  <si>
    <t xml:space="preserve"> Threat hunting role defined</t>
  </si>
  <si>
    <t>No</t>
  </si>
  <si>
    <t xml:space="preserve"> Threat hunting role is dedicated</t>
  </si>
  <si>
    <t xml:space="preserve"> Level of situational awareness</t>
  </si>
  <si>
    <t>High</t>
  </si>
  <si>
    <t xml:space="preserve"> Threat hunting analytics level</t>
  </si>
  <si>
    <t>Searches</t>
  </si>
  <si>
    <t xml:space="preserve"> Threat hunting metrics are captured and acted upon</t>
  </si>
  <si>
    <t xml:space="preserve"> Threat hunting feeds into security monitoring</t>
  </si>
  <si>
    <t xml:space="preserve"> Threat hunting feeds into threat intelligence</t>
  </si>
  <si>
    <t xml:space="preserve"> Threat hunter has access to system events</t>
  </si>
  <si>
    <t xml:space="preserve"> Threat hunter has access to network flows</t>
  </si>
  <si>
    <t xml:space="preserve"> Threat hunter has access to endpoints</t>
  </si>
  <si>
    <t>out of</t>
  </si>
  <si>
    <t>Total</t>
  </si>
  <si>
    <t>Level 1 Initial</t>
  </si>
  <si>
    <t>Level 2 Managed</t>
  </si>
  <si>
    <t>Level 3 Defined</t>
  </si>
  <si>
    <t>Level 4 Managed</t>
  </si>
  <si>
    <t>Level 5 Optimizing</t>
  </si>
  <si>
    <t>Low frequency</t>
  </si>
  <si>
    <t>Regular</t>
  </si>
  <si>
    <t>Continuous</t>
  </si>
  <si>
    <t>Low</t>
  </si>
  <si>
    <t>Adequate</t>
  </si>
  <si>
    <t>Searches and statistics</t>
  </si>
  <si>
    <t>Searches, statistics and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</si>
</sst>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1"/>
      <color theme="1"/>
      <name val="Verdana"/>
      <family val="2"/>
    </font>
    <font>
      <b/>
      <sz val="11"/>
      <color rgb="FFFFFFFF"/>
      <name val="Verdana"/>
      <family val="2"/>
    </font>
    <font>
      <sz val="11"/>
      <color rgb="FF00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0" fillId="3" borderId="0" xfId="0" applyFill="1"/>
    <xf numFmtId="0" fontId="3" fillId="3" borderId="2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0" fillId="4" borderId="5" xfId="0" applyFill="1" applyBorder="1"/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0" fillId="4" borderId="8" xfId="0" applyFill="1" applyBorder="1"/>
    <xf numFmtId="0" fontId="3" fillId="3" borderId="9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0" fillId="4" borderId="10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27F6-BB04-5441-B0ED-76341DD02010}">
  <dimension ref="D2:G21"/>
  <sheetViews>
    <sheetView tabSelected="1" topLeftCell="B1" workbookViewId="0">
      <selection activeCell="D25" sqref="D25"/>
    </sheetView>
  </sheetViews>
  <sheetFormatPr baseColWidth="10" defaultRowHeight="16" x14ac:dyDescent="0.2"/>
  <cols>
    <col min="4" max="4" width="61.33203125" customWidth="1"/>
  </cols>
  <sheetData>
    <row r="2" spans="4:7" ht="30" x14ac:dyDescent="0.2">
      <c r="D2" s="13" t="s">
        <v>0</v>
      </c>
      <c r="E2" s="13" t="s">
        <v>1</v>
      </c>
      <c r="F2" s="13" t="s">
        <v>2</v>
      </c>
      <c r="G2" s="13" t="s">
        <v>3</v>
      </c>
    </row>
    <row r="3" spans="4:7" x14ac:dyDescent="0.2">
      <c r="D3" s="10" t="s">
        <v>4</v>
      </c>
      <c r="E3" s="11" t="s">
        <v>5</v>
      </c>
      <c r="F3" s="11">
        <f>IF(E3="Yes",1,0)</f>
        <v>1</v>
      </c>
      <c r="G3" s="12">
        <v>1</v>
      </c>
    </row>
    <row r="4" spans="4:7" x14ac:dyDescent="0.2">
      <c r="D4" s="5" t="s">
        <v>6</v>
      </c>
      <c r="E4" s="4" t="s">
        <v>5</v>
      </c>
      <c r="F4" s="4">
        <f t="shared" ref="F4:F14" si="0">IF(E4="Yes",1,0)</f>
        <v>1</v>
      </c>
      <c r="G4" s="6">
        <v>1</v>
      </c>
    </row>
    <row r="5" spans="4:7" x14ac:dyDescent="0.2">
      <c r="D5" s="5" t="s">
        <v>7</v>
      </c>
      <c r="E5" s="4" t="s">
        <v>8</v>
      </c>
      <c r="F5" s="4">
        <f>IF(E5="Continuous",4,IF(E5="Regular",3,IF(E5="Low frequency",2,IF(E5="Ad-hoc",1,IF(E5="None",0)))))</f>
        <v>1</v>
      </c>
      <c r="G5" s="6">
        <v>4</v>
      </c>
    </row>
    <row r="6" spans="4:7" x14ac:dyDescent="0.2">
      <c r="D6" s="5" t="s">
        <v>9</v>
      </c>
      <c r="E6" s="4" t="s">
        <v>10</v>
      </c>
      <c r="F6" s="4">
        <f t="shared" si="0"/>
        <v>0</v>
      </c>
      <c r="G6" s="6">
        <v>1</v>
      </c>
    </row>
    <row r="7" spans="4:7" x14ac:dyDescent="0.2">
      <c r="D7" s="5" t="s">
        <v>11</v>
      </c>
      <c r="E7" s="4" t="s">
        <v>10</v>
      </c>
      <c r="F7" s="4">
        <f t="shared" si="0"/>
        <v>0</v>
      </c>
      <c r="G7" s="6">
        <v>1</v>
      </c>
    </row>
    <row r="8" spans="4:7" x14ac:dyDescent="0.2">
      <c r="D8" s="5" t="s">
        <v>12</v>
      </c>
      <c r="E8" s="4" t="s">
        <v>13</v>
      </c>
      <c r="F8" s="4">
        <f>IF(E8="Low",1,IF(E8="Adequate",2,IF(E8="High",3,IF(E8="None",0))))</f>
        <v>3</v>
      </c>
      <c r="G8" s="6">
        <v>3</v>
      </c>
    </row>
    <row r="9" spans="4:7" x14ac:dyDescent="0.2">
      <c r="D9" s="5" t="s">
        <v>14</v>
      </c>
      <c r="E9" s="4" t="s">
        <v>15</v>
      </c>
      <c r="F9" s="4">
        <v>1</v>
      </c>
      <c r="G9" s="6">
        <v>3</v>
      </c>
    </row>
    <row r="10" spans="4:7" x14ac:dyDescent="0.2">
      <c r="D10" s="5" t="s">
        <v>16</v>
      </c>
      <c r="E10" s="4" t="s">
        <v>10</v>
      </c>
      <c r="F10" s="4">
        <f t="shared" si="0"/>
        <v>0</v>
      </c>
      <c r="G10" s="6">
        <v>1</v>
      </c>
    </row>
    <row r="11" spans="4:7" x14ac:dyDescent="0.2">
      <c r="D11" s="5" t="s">
        <v>17</v>
      </c>
      <c r="E11" s="4" t="s">
        <v>5</v>
      </c>
      <c r="F11" s="4">
        <f t="shared" si="0"/>
        <v>1</v>
      </c>
      <c r="G11" s="6">
        <v>1</v>
      </c>
    </row>
    <row r="12" spans="4:7" x14ac:dyDescent="0.2">
      <c r="D12" s="5" t="s">
        <v>18</v>
      </c>
      <c r="E12" s="4" t="s">
        <v>5</v>
      </c>
      <c r="F12" s="4">
        <f t="shared" si="0"/>
        <v>1</v>
      </c>
      <c r="G12" s="6">
        <v>1</v>
      </c>
    </row>
    <row r="13" spans="4:7" x14ac:dyDescent="0.2">
      <c r="D13" s="5" t="s">
        <v>19</v>
      </c>
      <c r="E13" s="4" t="s">
        <v>5</v>
      </c>
      <c r="F13" s="4">
        <f t="shared" si="0"/>
        <v>1</v>
      </c>
      <c r="G13" s="6">
        <v>1</v>
      </c>
    </row>
    <row r="14" spans="4:7" x14ac:dyDescent="0.2">
      <c r="D14" s="5" t="s">
        <v>20</v>
      </c>
      <c r="E14" s="4" t="s">
        <v>5</v>
      </c>
      <c r="F14" s="4">
        <f t="shared" si="0"/>
        <v>1</v>
      </c>
      <c r="G14" s="6">
        <v>1</v>
      </c>
    </row>
    <row r="15" spans="4:7" ht="17" thickBot="1" x14ac:dyDescent="0.25">
      <c r="D15" s="7" t="s">
        <v>21</v>
      </c>
      <c r="E15" s="8" t="s">
        <v>5</v>
      </c>
      <c r="F15" s="8">
        <v>0</v>
      </c>
      <c r="G15" s="9">
        <v>1</v>
      </c>
    </row>
    <row r="16" spans="4:7" x14ac:dyDescent="0.2">
      <c r="D16" s="3"/>
      <c r="E16" s="3"/>
      <c r="F16" s="3"/>
      <c r="G16" s="3"/>
    </row>
    <row r="17" spans="4:7" x14ac:dyDescent="0.2">
      <c r="D17" s="3"/>
      <c r="E17" s="15" t="s">
        <v>23</v>
      </c>
      <c r="F17" s="15">
        <f>SUM(F3:F15)</f>
        <v>11</v>
      </c>
      <c r="G17" s="16">
        <f>SUM(G3:G15)</f>
        <v>20</v>
      </c>
    </row>
    <row r="20" spans="4:7" ht="24" x14ac:dyDescent="0.3">
      <c r="E20" s="14">
        <f>F17</f>
        <v>11</v>
      </c>
      <c r="F20" s="1" t="s">
        <v>22</v>
      </c>
      <c r="G20" s="1">
        <v>20</v>
      </c>
    </row>
    <row r="21" spans="4:7" ht="24" x14ac:dyDescent="0.3">
      <c r="E21" s="2">
        <f>(E20*G21)/G20</f>
        <v>2.75</v>
      </c>
      <c r="F21" s="1" t="s">
        <v>22</v>
      </c>
      <c r="G21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DDDB-2F7F-C34B-89AB-7D2D688DBD7C}">
  <dimension ref="D5:I18"/>
  <sheetViews>
    <sheetView workbookViewId="0">
      <selection activeCell="D21" sqref="D21"/>
    </sheetView>
  </sheetViews>
  <sheetFormatPr baseColWidth="10" defaultRowHeight="16" x14ac:dyDescent="0.2"/>
  <cols>
    <col min="4" max="4" width="44.33203125" customWidth="1"/>
    <col min="5" max="9" width="16.1640625" customWidth="1"/>
  </cols>
  <sheetData>
    <row r="5" spans="4:9" ht="41" customHeight="1" x14ac:dyDescent="0.2">
      <c r="D5" s="17" t="s">
        <v>0</v>
      </c>
      <c r="E5" s="18" t="s">
        <v>24</v>
      </c>
      <c r="F5" s="19" t="s">
        <v>25</v>
      </c>
      <c r="G5" s="20" t="s">
        <v>26</v>
      </c>
      <c r="H5" s="21" t="s">
        <v>27</v>
      </c>
      <c r="I5" s="22" t="s">
        <v>28</v>
      </c>
    </row>
    <row r="6" spans="4:9" x14ac:dyDescent="0.2">
      <c r="D6" s="23" t="s">
        <v>4</v>
      </c>
      <c r="E6" s="23" t="s">
        <v>10</v>
      </c>
      <c r="F6" s="23" t="s">
        <v>5</v>
      </c>
      <c r="G6" s="23" t="s">
        <v>5</v>
      </c>
      <c r="H6" s="23" t="s">
        <v>5</v>
      </c>
      <c r="I6" s="23" t="s">
        <v>5</v>
      </c>
    </row>
    <row r="7" spans="4:9" x14ac:dyDescent="0.2">
      <c r="D7" s="23" t="s">
        <v>6</v>
      </c>
      <c r="E7" s="23" t="s">
        <v>10</v>
      </c>
      <c r="F7" s="23" t="s">
        <v>10</v>
      </c>
      <c r="G7" s="23" t="s">
        <v>5</v>
      </c>
      <c r="H7" s="23" t="s">
        <v>5</v>
      </c>
      <c r="I7" s="23" t="s">
        <v>5</v>
      </c>
    </row>
    <row r="8" spans="4:9" ht="31" x14ac:dyDescent="0.2">
      <c r="D8" s="23" t="s">
        <v>7</v>
      </c>
      <c r="E8" s="23" t="s">
        <v>10</v>
      </c>
      <c r="F8" s="23" t="s">
        <v>8</v>
      </c>
      <c r="G8" s="23" t="s">
        <v>29</v>
      </c>
      <c r="H8" s="23" t="s">
        <v>30</v>
      </c>
      <c r="I8" s="23" t="s">
        <v>31</v>
      </c>
    </row>
    <row r="9" spans="4:9" x14ac:dyDescent="0.2">
      <c r="D9" s="23" t="s">
        <v>9</v>
      </c>
      <c r="E9" s="23" t="s">
        <v>10</v>
      </c>
      <c r="F9" s="23" t="s">
        <v>5</v>
      </c>
      <c r="G9" s="23" t="s">
        <v>5</v>
      </c>
      <c r="H9" s="23" t="s">
        <v>5</v>
      </c>
      <c r="I9" s="23" t="s">
        <v>5</v>
      </c>
    </row>
    <row r="10" spans="4:9" x14ac:dyDescent="0.2">
      <c r="D10" s="23" t="s">
        <v>11</v>
      </c>
      <c r="E10" s="23" t="s">
        <v>10</v>
      </c>
      <c r="F10" s="23" t="s">
        <v>10</v>
      </c>
      <c r="G10" s="23" t="s">
        <v>5</v>
      </c>
      <c r="H10" s="23" t="s">
        <v>5</v>
      </c>
      <c r="I10" s="23" t="s">
        <v>5</v>
      </c>
    </row>
    <row r="11" spans="4:9" x14ac:dyDescent="0.2">
      <c r="D11" s="23" t="s">
        <v>12</v>
      </c>
      <c r="E11" s="23" t="s">
        <v>32</v>
      </c>
      <c r="F11" s="23" t="s">
        <v>32</v>
      </c>
      <c r="G11" s="23" t="s">
        <v>33</v>
      </c>
      <c r="H11" s="23" t="s">
        <v>13</v>
      </c>
      <c r="I11" s="23" t="s">
        <v>13</v>
      </c>
    </row>
    <row r="12" spans="4:9" ht="61" x14ac:dyDescent="0.2">
      <c r="D12" s="23" t="s">
        <v>14</v>
      </c>
      <c r="E12" s="23" t="s">
        <v>15</v>
      </c>
      <c r="F12" s="23" t="s">
        <v>15</v>
      </c>
      <c r="G12" s="23" t="s">
        <v>34</v>
      </c>
      <c r="H12" s="23" t="s">
        <v>35</v>
      </c>
      <c r="I12" s="23" t="s">
        <v>35</v>
      </c>
    </row>
    <row r="13" spans="4:9" ht="31" x14ac:dyDescent="0.2">
      <c r="D13" s="23" t="s">
        <v>16</v>
      </c>
      <c r="E13" s="23" t="s">
        <v>10</v>
      </c>
      <c r="F13" s="23" t="s">
        <v>10</v>
      </c>
      <c r="G13" s="23" t="s">
        <v>10</v>
      </c>
      <c r="H13" s="23" t="s">
        <v>5</v>
      </c>
      <c r="I13" s="23" t="s">
        <v>5</v>
      </c>
    </row>
    <row r="14" spans="4:9" ht="31" x14ac:dyDescent="0.2">
      <c r="D14" s="23" t="s">
        <v>17</v>
      </c>
      <c r="E14" s="23" t="s">
        <v>10</v>
      </c>
      <c r="F14" s="23" t="s">
        <v>10</v>
      </c>
      <c r="G14" s="23" t="s">
        <v>5</v>
      </c>
      <c r="H14" s="23" t="s">
        <v>5</v>
      </c>
      <c r="I14" s="23" t="s">
        <v>5</v>
      </c>
    </row>
    <row r="15" spans="4:9" x14ac:dyDescent="0.2">
      <c r="D15" s="23" t="s">
        <v>18</v>
      </c>
      <c r="E15" s="23" t="s">
        <v>10</v>
      </c>
      <c r="F15" s="23" t="s">
        <v>10</v>
      </c>
      <c r="G15" s="23" t="s">
        <v>10</v>
      </c>
      <c r="H15" s="23" t="s">
        <v>5</v>
      </c>
      <c r="I15" s="23" t="s">
        <v>5</v>
      </c>
    </row>
    <row r="16" spans="4:9" x14ac:dyDescent="0.2">
      <c r="D16" s="23" t="s">
        <v>19</v>
      </c>
      <c r="E16" s="23" t="s">
        <v>5</v>
      </c>
      <c r="F16" s="23" t="s">
        <v>5</v>
      </c>
      <c r="G16" s="23" t="s">
        <v>5</v>
      </c>
      <c r="H16" s="23" t="s">
        <v>5</v>
      </c>
      <c r="I16" s="23" t="s">
        <v>5</v>
      </c>
    </row>
    <row r="17" spans="4:9" x14ac:dyDescent="0.2">
      <c r="D17" s="23" t="s">
        <v>20</v>
      </c>
      <c r="E17" s="23" t="s">
        <v>10</v>
      </c>
      <c r="F17" s="23" t="s">
        <v>10</v>
      </c>
      <c r="G17" s="23" t="s">
        <v>10</v>
      </c>
      <c r="H17" s="23" t="s">
        <v>5</v>
      </c>
      <c r="I17" s="23" t="s">
        <v>5</v>
      </c>
    </row>
    <row r="18" spans="4:9" x14ac:dyDescent="0.2">
      <c r="D18" s="23" t="s">
        <v>21</v>
      </c>
      <c r="E18" s="23" t="s">
        <v>10</v>
      </c>
      <c r="F18" s="23" t="s">
        <v>10</v>
      </c>
      <c r="G18" s="23" t="s">
        <v>5</v>
      </c>
      <c r="H18" s="23" t="s">
        <v>5</v>
      </c>
      <c r="I18" s="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Calculator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Nadhem J</dc:creator>
  <cp:lastModifiedBy>Nadhem J</cp:lastModifiedBy>
  <dcterms:created xsi:type="dcterms:W3CDTF">2025-12-25T11:40:29Z</dcterms:created>
  <dcterms:modified xsi:type="dcterms:W3CDTF">2025-12-25T11:47:04Z</dcterms:modified>
</cp:coreProperties>
</file>